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975" activeTab="1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B32" i="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2"/>
  <c r="K2" i="1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"/>
  <c r="J2"/>
  <c r="B9"/>
  <c r="B10"/>
  <c r="B11"/>
  <c r="B12"/>
  <c r="B13"/>
  <c r="B14"/>
  <c r="G2" s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"/>
  <c r="B4"/>
  <c r="B5"/>
  <c r="B6"/>
  <c r="B7"/>
  <c r="B8"/>
  <c r="B2"/>
  <c r="F2" s="1"/>
  <c r="H2" l="1"/>
  <c r="I2"/>
  <c r="C2"/>
  <c r="E2"/>
  <c r="D2"/>
</calcChain>
</file>

<file path=xl/sharedStrings.xml><?xml version="1.0" encoding="utf-8"?>
<sst xmlns="http://schemas.openxmlformats.org/spreadsheetml/2006/main" count="17" uniqueCount="15">
  <si>
    <t>X</t>
  </si>
  <si>
    <t>Y</t>
  </si>
  <si>
    <t>Наибольшее значение функции</t>
  </si>
  <si>
    <t>Наименьшее значение функции</t>
  </si>
  <si>
    <t>Среднее значение функции</t>
  </si>
  <si>
    <t>Кол-во точек, попадающих в интервал [c, d]</t>
  </si>
  <si>
    <t>Сумма тех значений функции, аргументы к-х лежат в интервале [c, d]</t>
  </si>
  <si>
    <t>Кол-во положительных значений на отрезке [a, b]</t>
  </si>
  <si>
    <t>a</t>
  </si>
  <si>
    <t>b</t>
  </si>
  <si>
    <t>c</t>
  </si>
  <si>
    <t>d</t>
  </si>
  <si>
    <t>Сумма отрицательных значений на отрезке [a, b]</t>
  </si>
  <si>
    <t>y0</t>
  </si>
  <si>
    <t>Произведение тех значений функции, которые меньше y0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</si>
</sst>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smoothMarker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trendline>
            <c:trendlineType val="linear"/>
          </c:trendline>
          <c:xVal>
            <c:numRef>
              <c:f>Лист1!$A$2:$A$32</c:f>
              <c:numCache>
                <c:formatCode>General</c:formatCode>
                <c:ptCount val="31"/>
                <c:pt idx="0">
                  <c:v>-5</c:v>
                </c:pt>
                <c:pt idx="1">
                  <c:v>-4.7</c:v>
                </c:pt>
                <c:pt idx="2">
                  <c:v>-4.4000000000000004</c:v>
                </c:pt>
                <c:pt idx="3">
                  <c:v>-4.0999999999999996</c:v>
                </c:pt>
                <c:pt idx="4">
                  <c:v>-3.8</c:v>
                </c:pt>
                <c:pt idx="5">
                  <c:v>-3.5</c:v>
                </c:pt>
                <c:pt idx="6">
                  <c:v>-3.2</c:v>
                </c:pt>
                <c:pt idx="7">
                  <c:v>-2.9</c:v>
                </c:pt>
                <c:pt idx="8">
                  <c:v>-2.6</c:v>
                </c:pt>
                <c:pt idx="9">
                  <c:v>-2.2999999999999998</c:v>
                </c:pt>
                <c:pt idx="10">
                  <c:v>-2</c:v>
                </c:pt>
                <c:pt idx="11">
                  <c:v>-1.7</c:v>
                </c:pt>
                <c:pt idx="12">
                  <c:v>-1.4</c:v>
                </c:pt>
                <c:pt idx="13">
                  <c:v>-1.1000000000000001</c:v>
                </c:pt>
                <c:pt idx="14">
                  <c:v>-0.8</c:v>
                </c:pt>
                <c:pt idx="15">
                  <c:v>-0.5</c:v>
                </c:pt>
                <c:pt idx="16">
                  <c:v>-0.2</c:v>
                </c:pt>
                <c:pt idx="17">
                  <c:v>9.9999999999999603E-2</c:v>
                </c:pt>
                <c:pt idx="18">
                  <c:v>0.4</c:v>
                </c:pt>
                <c:pt idx="19">
                  <c:v>0.7</c:v>
                </c:pt>
                <c:pt idx="20">
                  <c:v>1</c:v>
                </c:pt>
                <c:pt idx="21">
                  <c:v>1.3</c:v>
                </c:pt>
                <c:pt idx="22">
                  <c:v>1.6</c:v>
                </c:pt>
                <c:pt idx="23">
                  <c:v>1.9</c:v>
                </c:pt>
                <c:pt idx="24">
                  <c:v>2.2000000000000002</c:v>
                </c:pt>
                <c:pt idx="25">
                  <c:v>2.5</c:v>
                </c:pt>
                <c:pt idx="26">
                  <c:v>2.8</c:v>
                </c:pt>
                <c:pt idx="27">
                  <c:v>3.0999999999999899</c:v>
                </c:pt>
                <c:pt idx="28">
                  <c:v>3.4</c:v>
                </c:pt>
                <c:pt idx="29">
                  <c:v>3.7</c:v>
                </c:pt>
                <c:pt idx="30">
                  <c:v>3.9999999999999898</c:v>
                </c:pt>
              </c:numCache>
            </c:numRef>
          </c:xVal>
          <c:yVal>
            <c:numRef>
              <c:f>Лист1!$B$2:$B$32</c:f>
              <c:numCache>
                <c:formatCode>General</c:formatCode>
                <c:ptCount val="31"/>
                <c:pt idx="0">
                  <c:v>-3.8600359497255825</c:v>
                </c:pt>
                <c:pt idx="1">
                  <c:v>0.18829157390689455</c:v>
                </c:pt>
                <c:pt idx="2">
                  <c:v>4.0532837829489861</c:v>
                </c:pt>
                <c:pt idx="3">
                  <c:v>7.387015332274105</c:v>
                </c:pt>
                <c:pt idx="4">
                  <c:v>9.9041089044605286</c:v>
                </c:pt>
                <c:pt idx="5">
                  <c:v>11.407594048305462</c:v>
                </c:pt>
                <c:pt idx="6">
                  <c:v>11.805780325179951</c:v>
                </c:pt>
                <c:pt idx="7">
                  <c:v>11.118675213374663</c:v>
                </c:pt>
                <c:pt idx="8">
                  <c:v>9.47350735763494</c:v>
                </c:pt>
                <c:pt idx="9">
                  <c:v>7.0899907034254577</c:v>
                </c:pt>
                <c:pt idx="10">
                  <c:v>4.2569972737032469</c:v>
                </c:pt>
                <c:pt idx="11">
                  <c:v>1.3032359255046553</c:v>
                </c:pt>
                <c:pt idx="12">
                  <c:v>-1.4346177159259272</c:v>
                </c:pt>
                <c:pt idx="13">
                  <c:v>-3.641847780133368</c:v>
                </c:pt>
                <c:pt idx="14">
                  <c:v>-5.0465707114460878</c:v>
                </c:pt>
                <c:pt idx="15">
                  <c:v>-5.4123019277349016</c:v>
                </c:pt>
                <c:pt idx="16">
                  <c:v>-4.3785597229318602</c:v>
                </c:pt>
                <c:pt idx="17">
                  <c:v>-1.6380777160933806</c:v>
                </c:pt>
                <c:pt idx="18">
                  <c:v>-2.2080656210940544</c:v>
                </c:pt>
                <c:pt idx="19">
                  <c:v>-2.5944116563933686</c:v>
                </c:pt>
                <c:pt idx="20">
                  <c:v>-2.8749646734031993</c:v>
                </c:pt>
                <c:pt idx="21">
                  <c:v>-3.0930686996835988</c:v>
                </c:pt>
                <c:pt idx="22">
                  <c:v>-3.2730269544295045</c:v>
                </c:pt>
                <c:pt idx="23">
                  <c:v>-3.4286096282864031</c:v>
                </c:pt>
                <c:pt idx="24">
                  <c:v>-3.5677393782709279</c:v>
                </c:pt>
                <c:pt idx="25">
                  <c:v>-3.6950755004721341</c:v>
                </c:pt>
                <c:pt idx="26">
                  <c:v>-3.8134421040982032</c:v>
                </c:pt>
                <c:pt idx="27">
                  <c:v>-3.9246197444175359</c:v>
                </c:pt>
                <c:pt idx="28">
                  <c:v>-4.0297860947715911</c:v>
                </c:pt>
                <c:pt idx="29">
                  <c:v>-4.1297627607430032</c:v>
                </c:pt>
                <c:pt idx="30">
                  <c:v>-4.2251547374433782</c:v>
                </c:pt>
              </c:numCache>
            </c:numRef>
          </c:yVal>
          <c:smooth val="1"/>
        </c:ser>
        <c:dLbls>
          <c:dLblPos val="r"/>
        </c:dLbls>
        <c:axId val="80173312"/>
        <c:axId val="80171008"/>
      </c:scatterChart>
      <c:valAx>
        <c:axId val="80173312"/>
        <c:scaling>
          <c:orientation val="minMax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X</a:t>
                </a:r>
                <a:endParaRPr lang="ru-RU"/>
              </a:p>
            </c:rich>
          </c:tx>
          <c:layout/>
        </c:title>
        <c:numFmt formatCode="General" sourceLinked="1"/>
        <c:tickLblPos val="nextTo"/>
        <c:crossAx val="80171008"/>
        <c:crosses val="autoZero"/>
        <c:crossBetween val="midCat"/>
      </c:valAx>
      <c:valAx>
        <c:axId val="80171008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  <a:endParaRPr lang="ru-RU"/>
              </a:p>
            </c:rich>
          </c:tx>
          <c:layout/>
        </c:title>
        <c:numFmt formatCode="General" sourceLinked="1"/>
        <c:tickLblPos val="nextTo"/>
        <c:crossAx val="8017331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view3D>
      <c:perspective val="30"/>
    </c:view3D>
    <c:plotArea>
      <c:layout>
        <c:manualLayout>
          <c:layoutTarget val="inner"/>
          <c:xMode val="edge"/>
          <c:yMode val="edge"/>
          <c:x val="7.9099518810148733E-2"/>
          <c:y val="2.8252405949256341E-2"/>
          <c:w val="0.70467738407699032"/>
          <c:h val="0.89719889180519097"/>
        </c:manualLayout>
      </c:layout>
      <c:surface3DChart>
        <c:ser>
          <c:idx val="0"/>
          <c:order val="0"/>
          <c:tx>
            <c:strRef>
              <c:f>Лист2!$A$1</c:f>
              <c:strCache>
                <c:ptCount val="1"/>
                <c:pt idx="0">
                  <c:v>X</c:v>
                </c:pt>
              </c:strCache>
            </c:strRef>
          </c:tx>
          <c:val>
            <c:numRef>
              <c:f>Лист2!$A$2:$A$33</c:f>
              <c:numCache>
                <c:formatCode>General</c:formatCode>
                <c:ptCount val="32"/>
                <c:pt idx="0">
                  <c:v>-5</c:v>
                </c:pt>
                <c:pt idx="1">
                  <c:v>-4.7</c:v>
                </c:pt>
                <c:pt idx="2">
                  <c:v>-4.4000000000000004</c:v>
                </c:pt>
                <c:pt idx="3">
                  <c:v>-4.0999999999999996</c:v>
                </c:pt>
                <c:pt idx="4">
                  <c:v>-3.8</c:v>
                </c:pt>
                <c:pt idx="5">
                  <c:v>-3.5</c:v>
                </c:pt>
                <c:pt idx="6">
                  <c:v>-3.2</c:v>
                </c:pt>
                <c:pt idx="7">
                  <c:v>-2.9</c:v>
                </c:pt>
                <c:pt idx="8">
                  <c:v>-2.6</c:v>
                </c:pt>
                <c:pt idx="9">
                  <c:v>-2.2999999999999998</c:v>
                </c:pt>
                <c:pt idx="10">
                  <c:v>-2</c:v>
                </c:pt>
                <c:pt idx="11">
                  <c:v>-1.7</c:v>
                </c:pt>
                <c:pt idx="12">
                  <c:v>-1.4</c:v>
                </c:pt>
                <c:pt idx="13">
                  <c:v>-1.1000000000000001</c:v>
                </c:pt>
                <c:pt idx="14">
                  <c:v>-0.8</c:v>
                </c:pt>
                <c:pt idx="15">
                  <c:v>-0.5</c:v>
                </c:pt>
                <c:pt idx="16">
                  <c:v>-0.2</c:v>
                </c:pt>
                <c:pt idx="17">
                  <c:v>9.9999999999999603E-2</c:v>
                </c:pt>
                <c:pt idx="18">
                  <c:v>0.4</c:v>
                </c:pt>
                <c:pt idx="19">
                  <c:v>0.7</c:v>
                </c:pt>
                <c:pt idx="20">
                  <c:v>1</c:v>
                </c:pt>
                <c:pt idx="21">
                  <c:v>1.3</c:v>
                </c:pt>
                <c:pt idx="22">
                  <c:v>1.6</c:v>
                </c:pt>
                <c:pt idx="23">
                  <c:v>1.9</c:v>
                </c:pt>
                <c:pt idx="24">
                  <c:v>2.2000000000000002</c:v>
                </c:pt>
                <c:pt idx="25">
                  <c:v>2.5</c:v>
                </c:pt>
                <c:pt idx="26">
                  <c:v>2.8</c:v>
                </c:pt>
                <c:pt idx="27">
                  <c:v>3.0999999999999899</c:v>
                </c:pt>
                <c:pt idx="28">
                  <c:v>3.4</c:v>
                </c:pt>
                <c:pt idx="29">
                  <c:v>3.7</c:v>
                </c:pt>
                <c:pt idx="30">
                  <c:v>3.9999999999999898</c:v>
                </c:pt>
              </c:numCache>
            </c:numRef>
          </c:val>
        </c:ser>
        <c:ser>
          <c:idx val="1"/>
          <c:order val="1"/>
          <c:tx>
            <c:strRef>
              <c:f>Лист2!$B$1</c:f>
              <c:strCache>
                <c:ptCount val="1"/>
                <c:pt idx="0">
                  <c:v>Y</c:v>
                </c:pt>
              </c:strCache>
            </c:strRef>
          </c:tx>
          <c:val>
            <c:numRef>
              <c:f>Лист2!$B$2:$B$33</c:f>
              <c:numCache>
                <c:formatCode>General</c:formatCode>
                <c:ptCount val="32"/>
                <c:pt idx="0">
                  <c:v>-3.8600359497255825</c:v>
                </c:pt>
                <c:pt idx="1">
                  <c:v>0.18829157390689455</c:v>
                </c:pt>
                <c:pt idx="2">
                  <c:v>4.0532837829489861</c:v>
                </c:pt>
                <c:pt idx="3">
                  <c:v>7.387015332274105</c:v>
                </c:pt>
                <c:pt idx="4">
                  <c:v>9.9041089044605286</c:v>
                </c:pt>
                <c:pt idx="5">
                  <c:v>11.407594048305462</c:v>
                </c:pt>
                <c:pt idx="6">
                  <c:v>11.805780325179951</c:v>
                </c:pt>
                <c:pt idx="7">
                  <c:v>11.118675213374663</c:v>
                </c:pt>
                <c:pt idx="8">
                  <c:v>9.47350735763494</c:v>
                </c:pt>
                <c:pt idx="9">
                  <c:v>7.0899907034254577</c:v>
                </c:pt>
                <c:pt idx="10">
                  <c:v>4.2569972737032469</c:v>
                </c:pt>
                <c:pt idx="11">
                  <c:v>1.3032359255046553</c:v>
                </c:pt>
                <c:pt idx="12">
                  <c:v>-1.4346177159259272</c:v>
                </c:pt>
                <c:pt idx="13">
                  <c:v>-3.641847780133368</c:v>
                </c:pt>
                <c:pt idx="14">
                  <c:v>-5.0465707114460878</c:v>
                </c:pt>
                <c:pt idx="15">
                  <c:v>-5.4123019277349016</c:v>
                </c:pt>
                <c:pt idx="16">
                  <c:v>-4.3785597229318602</c:v>
                </c:pt>
                <c:pt idx="17">
                  <c:v>-1.6380777160933806</c:v>
                </c:pt>
                <c:pt idx="18">
                  <c:v>-2.2080656210940544</c:v>
                </c:pt>
                <c:pt idx="19">
                  <c:v>-2.5944116563933686</c:v>
                </c:pt>
                <c:pt idx="20">
                  <c:v>-2.8749646734031993</c:v>
                </c:pt>
                <c:pt idx="21">
                  <c:v>-3.0930686996835988</c:v>
                </c:pt>
                <c:pt idx="22">
                  <c:v>-3.2730269544295045</c:v>
                </c:pt>
                <c:pt idx="23">
                  <c:v>-3.4286096282864031</c:v>
                </c:pt>
                <c:pt idx="24">
                  <c:v>-3.5677393782709279</c:v>
                </c:pt>
                <c:pt idx="25">
                  <c:v>-3.6950755004721341</c:v>
                </c:pt>
                <c:pt idx="26">
                  <c:v>-3.8134421040982032</c:v>
                </c:pt>
                <c:pt idx="27">
                  <c:v>-3.9246197444175359</c:v>
                </c:pt>
                <c:pt idx="28">
                  <c:v>-4.0297860947715911</c:v>
                </c:pt>
                <c:pt idx="29">
                  <c:v>-4.1297627607430032</c:v>
                </c:pt>
                <c:pt idx="30">
                  <c:v>-4.2251547374433782</c:v>
                </c:pt>
              </c:numCache>
            </c:numRef>
          </c:val>
        </c:ser>
        <c:bandFmts/>
        <c:axId val="90532096"/>
        <c:axId val="92803072"/>
        <c:axId val="138330560"/>
      </c:surface3DChart>
      <c:catAx>
        <c:axId val="90532096"/>
        <c:scaling>
          <c:orientation val="minMax"/>
        </c:scaling>
        <c:axPos val="b"/>
        <c:tickLblPos val="nextTo"/>
        <c:crossAx val="92803072"/>
        <c:crosses val="autoZero"/>
        <c:auto val="1"/>
        <c:lblAlgn val="ctr"/>
        <c:lblOffset val="100"/>
      </c:catAx>
      <c:valAx>
        <c:axId val="92803072"/>
        <c:scaling>
          <c:orientation val="minMax"/>
        </c:scaling>
        <c:axPos val="l"/>
        <c:majorGridlines/>
        <c:numFmt formatCode="General" sourceLinked="1"/>
        <c:tickLblPos val="nextTo"/>
        <c:crossAx val="90532096"/>
        <c:crosses val="autoZero"/>
        <c:crossBetween val="midCat"/>
      </c:valAx>
      <c:serAx>
        <c:axId val="138330560"/>
        <c:scaling>
          <c:orientation val="minMax"/>
        </c:scaling>
        <c:axPos val="b"/>
        <c:tickLblPos val="nextTo"/>
        <c:crossAx val="92803072"/>
        <c:crosses val="autoZero"/>
      </c:serAx>
    </c:plotArea>
    <c:legend>
      <c:legendPos val="r"/>
      <c:layout/>
      <c:txPr>
        <a:bodyPr/>
        <a:lstStyle/>
        <a:p>
          <a:pPr rtl="0">
            <a:defRPr/>
          </a:pPr>
          <a:endParaRPr lang="ru-RU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9</xdr:row>
      <xdr:rowOff>1</xdr:rowOff>
    </xdr:from>
    <xdr:to>
      <xdr:col>6</xdr:col>
      <xdr:colOff>0</xdr:colOff>
      <xdr:row>27</xdr:row>
      <xdr:rowOff>28575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6</xdr:row>
      <xdr:rowOff>0</xdr:rowOff>
    </xdr:from>
    <xdr:to>
      <xdr:col>11</xdr:col>
      <xdr:colOff>257175</xdr:colOff>
      <xdr:row>20</xdr:row>
      <xdr:rowOff>76200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>
      <selection sqref="A1:B1048576"/>
    </sheetView>
  </sheetViews>
  <sheetFormatPr defaultRowHeight="15"/>
  <cols>
    <col min="3" max="3" width="17.85546875" customWidth="1"/>
    <col min="4" max="4" width="18.5703125" customWidth="1"/>
    <col min="5" max="5" width="19.7109375" customWidth="1"/>
    <col min="6" max="6" width="25.42578125" customWidth="1"/>
    <col min="7" max="7" width="39" customWidth="1"/>
    <col min="8" max="8" width="25.7109375" customWidth="1"/>
    <col min="9" max="10" width="29.42578125" customWidth="1"/>
    <col min="11" max="11" width="21.85546875" customWidth="1"/>
  </cols>
  <sheetData>
    <row r="1" spans="1:11" ht="45" customHeight="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/>
      <c r="K1" s="1" t="s">
        <v>14</v>
      </c>
    </row>
    <row r="2" spans="1:11">
      <c r="A2">
        <v>-5</v>
      </c>
      <c r="B2">
        <f>IF(A2&lt;=0, (A2-2)^(-2)+8*A2^(1/3)*COS(A2), EXP(-2*A2)-5*LOG10(A2+3))</f>
        <v>-3.8600359497255825</v>
      </c>
      <c r="C2">
        <f>MAX(B2:B32)</f>
        <v>11.805780325179951</v>
      </c>
      <c r="D2">
        <f>MIN(B2:B32)</f>
        <v>-5.4123019277349016</v>
      </c>
      <c r="E2">
        <f>AVERAGE(B2:B32)</f>
        <v>0.24899165687809277</v>
      </c>
      <c r="F2">
        <f>COUNTIF(B2:B32, "&gt;=-2") -  COUNTIF(B2:B32, "&gt;2")</f>
        <v>4</v>
      </c>
      <c r="G2">
        <f>SUMIFS(B2:B32, A2:A32, "&gt;=-2", A2:A32, "&lt;=2")</f>
        <v>-33.463889608347756</v>
      </c>
      <c r="H2">
        <f>COUNTIFS(B2:B32, "&gt;0", A2:A32, "&gt;=-5",  A2:A32, "&lt;=4")</f>
        <v>11</v>
      </c>
      <c r="I2">
        <f>SUMIF(B2:B32, "&lt;0", B2:B32)</f>
        <v>-70.269739077498002</v>
      </c>
      <c r="J2">
        <f>IF($K$9&gt;B2,B2,1)</f>
        <v>1</v>
      </c>
      <c r="K2">
        <f>PRODUCT(J2:J32)</f>
        <v>8409.29083966496</v>
      </c>
    </row>
    <row r="3" spans="1:11">
      <c r="A3">
        <v>-4.7</v>
      </c>
      <c r="B3">
        <f t="shared" ref="B3:B32" si="0">IF(A3&lt;=0, (A3-2)^(-2)+8*A3^(1/3)*COS(A3), EXP(-2*A3)-5*LOG10(A3+3))</f>
        <v>0.18829157390689455</v>
      </c>
      <c r="J3">
        <f t="shared" ref="J3:J33" si="1">IF($K$9&gt;B3,B3,1)</f>
        <v>1</v>
      </c>
    </row>
    <row r="4" spans="1:11">
      <c r="A4">
        <v>-4.4000000000000004</v>
      </c>
      <c r="B4">
        <f t="shared" si="0"/>
        <v>4.0532837829489861</v>
      </c>
      <c r="J4">
        <f t="shared" si="1"/>
        <v>1</v>
      </c>
    </row>
    <row r="5" spans="1:11">
      <c r="A5">
        <v>-4.0999999999999996</v>
      </c>
      <c r="B5">
        <f t="shared" si="0"/>
        <v>7.387015332274105</v>
      </c>
      <c r="J5">
        <f t="shared" si="1"/>
        <v>1</v>
      </c>
    </row>
    <row r="6" spans="1:11">
      <c r="A6">
        <v>-3.8</v>
      </c>
      <c r="B6">
        <f t="shared" si="0"/>
        <v>9.9041089044605286</v>
      </c>
      <c r="J6">
        <f t="shared" si="1"/>
        <v>1</v>
      </c>
    </row>
    <row r="7" spans="1:11">
      <c r="A7">
        <v>-3.5</v>
      </c>
      <c r="B7">
        <f t="shared" si="0"/>
        <v>11.407594048305462</v>
      </c>
      <c r="J7">
        <f t="shared" si="1"/>
        <v>1</v>
      </c>
    </row>
    <row r="8" spans="1:11">
      <c r="A8">
        <v>-3.2</v>
      </c>
      <c r="B8">
        <f t="shared" si="0"/>
        <v>11.805780325179951</v>
      </c>
      <c r="F8" t="s">
        <v>8</v>
      </c>
      <c r="G8" t="s">
        <v>9</v>
      </c>
      <c r="H8" t="s">
        <v>10</v>
      </c>
      <c r="I8" t="s">
        <v>11</v>
      </c>
      <c r="J8">
        <f t="shared" si="1"/>
        <v>1</v>
      </c>
      <c r="K8" t="s">
        <v>13</v>
      </c>
    </row>
    <row r="9" spans="1:11">
      <c r="A9">
        <v>-2.9</v>
      </c>
      <c r="B9">
        <f t="shared" si="0"/>
        <v>11.118675213374663</v>
      </c>
      <c r="F9" s="2">
        <v>-5</v>
      </c>
      <c r="G9" s="2">
        <v>4</v>
      </c>
      <c r="H9" s="2">
        <v>-2</v>
      </c>
      <c r="I9" s="2">
        <v>2</v>
      </c>
      <c r="J9">
        <f t="shared" si="1"/>
        <v>1</v>
      </c>
      <c r="K9" s="2">
        <v>-4</v>
      </c>
    </row>
    <row r="10" spans="1:11">
      <c r="A10">
        <v>-2.6</v>
      </c>
      <c r="B10">
        <f t="shared" si="0"/>
        <v>9.47350735763494</v>
      </c>
      <c r="J10">
        <f t="shared" si="1"/>
        <v>1</v>
      </c>
    </row>
    <row r="11" spans="1:11">
      <c r="A11">
        <v>-2.2999999999999998</v>
      </c>
      <c r="B11">
        <f t="shared" si="0"/>
        <v>7.0899907034254577</v>
      </c>
      <c r="J11">
        <f t="shared" si="1"/>
        <v>1</v>
      </c>
    </row>
    <row r="12" spans="1:11">
      <c r="A12">
        <v>-2</v>
      </c>
      <c r="B12">
        <f t="shared" si="0"/>
        <v>4.2569972737032469</v>
      </c>
      <c r="J12">
        <f t="shared" si="1"/>
        <v>1</v>
      </c>
    </row>
    <row r="13" spans="1:11">
      <c r="A13">
        <v>-1.7</v>
      </c>
      <c r="B13">
        <f t="shared" si="0"/>
        <v>1.3032359255046553</v>
      </c>
      <c r="J13">
        <f t="shared" si="1"/>
        <v>1</v>
      </c>
    </row>
    <row r="14" spans="1:11">
      <c r="A14">
        <v>-1.4</v>
      </c>
      <c r="B14">
        <f t="shared" si="0"/>
        <v>-1.4346177159259272</v>
      </c>
      <c r="J14">
        <f t="shared" si="1"/>
        <v>1</v>
      </c>
    </row>
    <row r="15" spans="1:11">
      <c r="A15">
        <v>-1.1000000000000001</v>
      </c>
      <c r="B15">
        <f t="shared" si="0"/>
        <v>-3.641847780133368</v>
      </c>
      <c r="J15">
        <f t="shared" si="1"/>
        <v>1</v>
      </c>
    </row>
    <row r="16" spans="1:11">
      <c r="A16">
        <v>-0.8</v>
      </c>
      <c r="B16">
        <f t="shared" si="0"/>
        <v>-5.0465707114460878</v>
      </c>
      <c r="J16">
        <f t="shared" si="1"/>
        <v>-5.0465707114460878</v>
      </c>
    </row>
    <row r="17" spans="1:10">
      <c r="A17">
        <v>-0.5</v>
      </c>
      <c r="B17">
        <f t="shared" si="0"/>
        <v>-5.4123019277349016</v>
      </c>
      <c r="J17">
        <f t="shared" si="1"/>
        <v>-5.4123019277349016</v>
      </c>
    </row>
    <row r="18" spans="1:10">
      <c r="A18">
        <v>-0.2</v>
      </c>
      <c r="B18">
        <f t="shared" si="0"/>
        <v>-4.3785597229318602</v>
      </c>
      <c r="J18">
        <f t="shared" si="1"/>
        <v>-4.3785597229318602</v>
      </c>
    </row>
    <row r="19" spans="1:10">
      <c r="A19">
        <v>9.9999999999999603E-2</v>
      </c>
      <c r="B19">
        <f t="shared" si="0"/>
        <v>-1.6380777160933806</v>
      </c>
      <c r="J19">
        <f t="shared" si="1"/>
        <v>1</v>
      </c>
    </row>
    <row r="20" spans="1:10">
      <c r="A20">
        <v>0.4</v>
      </c>
      <c r="B20">
        <f t="shared" si="0"/>
        <v>-2.2080656210940544</v>
      </c>
      <c r="J20">
        <f t="shared" si="1"/>
        <v>1</v>
      </c>
    </row>
    <row r="21" spans="1:10">
      <c r="A21">
        <v>0.7</v>
      </c>
      <c r="B21">
        <f t="shared" si="0"/>
        <v>-2.5944116563933686</v>
      </c>
      <c r="J21">
        <f t="shared" si="1"/>
        <v>1</v>
      </c>
    </row>
    <row r="22" spans="1:10">
      <c r="A22">
        <v>1</v>
      </c>
      <c r="B22">
        <f t="shared" si="0"/>
        <v>-2.8749646734031993</v>
      </c>
      <c r="J22">
        <f t="shared" si="1"/>
        <v>1</v>
      </c>
    </row>
    <row r="23" spans="1:10">
      <c r="A23">
        <v>1.3</v>
      </c>
      <c r="B23">
        <f t="shared" si="0"/>
        <v>-3.0930686996835988</v>
      </c>
      <c r="J23">
        <f t="shared" si="1"/>
        <v>1</v>
      </c>
    </row>
    <row r="24" spans="1:10">
      <c r="A24">
        <v>1.6</v>
      </c>
      <c r="B24">
        <f t="shared" si="0"/>
        <v>-3.2730269544295045</v>
      </c>
      <c r="J24">
        <f t="shared" si="1"/>
        <v>1</v>
      </c>
    </row>
    <row r="25" spans="1:10">
      <c r="A25">
        <v>1.9</v>
      </c>
      <c r="B25">
        <f t="shared" si="0"/>
        <v>-3.4286096282864031</v>
      </c>
      <c r="J25">
        <f t="shared" si="1"/>
        <v>1</v>
      </c>
    </row>
    <row r="26" spans="1:10">
      <c r="A26">
        <v>2.2000000000000002</v>
      </c>
      <c r="B26">
        <f t="shared" si="0"/>
        <v>-3.5677393782709279</v>
      </c>
      <c r="J26">
        <f t="shared" si="1"/>
        <v>1</v>
      </c>
    </row>
    <row r="27" spans="1:10">
      <c r="A27">
        <v>2.5</v>
      </c>
      <c r="B27">
        <f t="shared" si="0"/>
        <v>-3.6950755004721341</v>
      </c>
      <c r="J27">
        <f t="shared" si="1"/>
        <v>1</v>
      </c>
    </row>
    <row r="28" spans="1:10">
      <c r="A28">
        <v>2.8</v>
      </c>
      <c r="B28">
        <f t="shared" si="0"/>
        <v>-3.8134421040982032</v>
      </c>
      <c r="J28">
        <f t="shared" si="1"/>
        <v>1</v>
      </c>
    </row>
    <row r="29" spans="1:10">
      <c r="A29">
        <v>3.0999999999999899</v>
      </c>
      <c r="B29">
        <f t="shared" si="0"/>
        <v>-3.9246197444175359</v>
      </c>
      <c r="J29">
        <f t="shared" si="1"/>
        <v>1</v>
      </c>
    </row>
    <row r="30" spans="1:10">
      <c r="A30">
        <v>3.4</v>
      </c>
      <c r="B30">
        <f t="shared" si="0"/>
        <v>-4.0297860947715911</v>
      </c>
      <c r="J30">
        <f t="shared" si="1"/>
        <v>-4.0297860947715911</v>
      </c>
    </row>
    <row r="31" spans="1:10">
      <c r="A31">
        <v>3.7</v>
      </c>
      <c r="B31">
        <f t="shared" si="0"/>
        <v>-4.1297627607430032</v>
      </c>
      <c r="J31">
        <f t="shared" si="1"/>
        <v>-4.1297627607430032</v>
      </c>
    </row>
    <row r="32" spans="1:10">
      <c r="A32">
        <v>3.9999999999999898</v>
      </c>
      <c r="B32">
        <f t="shared" si="0"/>
        <v>-4.2251547374433782</v>
      </c>
      <c r="J32">
        <f t="shared" si="1"/>
        <v>-4.2251547374433782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>
      <selection sqref="A1:B33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-5</v>
      </c>
      <c r="B2">
        <f>IF(A2&lt;=0, (A2-2)^(-2)+8*A2^(1/3)*COS(A2), EXP(-2*A2)-5*LOG10(A2+3))</f>
        <v>-3.8600359497255825</v>
      </c>
    </row>
    <row r="3" spans="1:2">
      <c r="A3">
        <v>-4.7</v>
      </c>
      <c r="B3">
        <f t="shared" ref="B3:B32" si="0">IF(A3&lt;=0, (A3-2)^(-2)+8*A3^(1/3)*COS(A3), EXP(-2*A3)-5*LOG10(A3+3))</f>
        <v>0.18829157390689455</v>
      </c>
    </row>
    <row r="4" spans="1:2">
      <c r="A4">
        <v>-4.4000000000000004</v>
      </c>
      <c r="B4">
        <f t="shared" si="0"/>
        <v>4.0532837829489861</v>
      </c>
    </row>
    <row r="5" spans="1:2">
      <c r="A5">
        <v>-4.0999999999999996</v>
      </c>
      <c r="B5">
        <f t="shared" si="0"/>
        <v>7.387015332274105</v>
      </c>
    </row>
    <row r="6" spans="1:2">
      <c r="A6">
        <v>-3.8</v>
      </c>
      <c r="B6">
        <f t="shared" si="0"/>
        <v>9.9041089044605286</v>
      </c>
    </row>
    <row r="7" spans="1:2">
      <c r="A7">
        <v>-3.5</v>
      </c>
      <c r="B7">
        <f t="shared" si="0"/>
        <v>11.407594048305462</v>
      </c>
    </row>
    <row r="8" spans="1:2">
      <c r="A8">
        <v>-3.2</v>
      </c>
      <c r="B8">
        <f t="shared" si="0"/>
        <v>11.805780325179951</v>
      </c>
    </row>
    <row r="9" spans="1:2">
      <c r="A9">
        <v>-2.9</v>
      </c>
      <c r="B9">
        <f t="shared" si="0"/>
        <v>11.118675213374663</v>
      </c>
    </row>
    <row r="10" spans="1:2">
      <c r="A10">
        <v>-2.6</v>
      </c>
      <c r="B10">
        <f t="shared" si="0"/>
        <v>9.47350735763494</v>
      </c>
    </row>
    <row r="11" spans="1:2">
      <c r="A11">
        <v>-2.2999999999999998</v>
      </c>
      <c r="B11">
        <f t="shared" si="0"/>
        <v>7.0899907034254577</v>
      </c>
    </row>
    <row r="12" spans="1:2">
      <c r="A12">
        <v>-2</v>
      </c>
      <c r="B12">
        <f t="shared" si="0"/>
        <v>4.2569972737032469</v>
      </c>
    </row>
    <row r="13" spans="1:2">
      <c r="A13">
        <v>-1.7</v>
      </c>
      <c r="B13">
        <f t="shared" si="0"/>
        <v>1.3032359255046553</v>
      </c>
    </row>
    <row r="14" spans="1:2">
      <c r="A14">
        <v>-1.4</v>
      </c>
      <c r="B14">
        <f t="shared" si="0"/>
        <v>-1.4346177159259272</v>
      </c>
    </row>
    <row r="15" spans="1:2">
      <c r="A15">
        <v>-1.1000000000000001</v>
      </c>
      <c r="B15">
        <f t="shared" si="0"/>
        <v>-3.641847780133368</v>
      </c>
    </row>
    <row r="16" spans="1:2">
      <c r="A16">
        <v>-0.8</v>
      </c>
      <c r="B16">
        <f t="shared" si="0"/>
        <v>-5.0465707114460878</v>
      </c>
    </row>
    <row r="17" spans="1:2">
      <c r="A17">
        <v>-0.5</v>
      </c>
      <c r="B17">
        <f t="shared" si="0"/>
        <v>-5.4123019277349016</v>
      </c>
    </row>
    <row r="18" spans="1:2">
      <c r="A18">
        <v>-0.2</v>
      </c>
      <c r="B18">
        <f t="shared" si="0"/>
        <v>-4.3785597229318602</v>
      </c>
    </row>
    <row r="19" spans="1:2">
      <c r="A19">
        <v>9.9999999999999603E-2</v>
      </c>
      <c r="B19">
        <f t="shared" si="0"/>
        <v>-1.6380777160933806</v>
      </c>
    </row>
    <row r="20" spans="1:2">
      <c r="A20">
        <v>0.4</v>
      </c>
      <c r="B20">
        <f t="shared" si="0"/>
        <v>-2.2080656210940544</v>
      </c>
    </row>
    <row r="21" spans="1:2">
      <c r="A21">
        <v>0.7</v>
      </c>
      <c r="B21">
        <f t="shared" si="0"/>
        <v>-2.5944116563933686</v>
      </c>
    </row>
    <row r="22" spans="1:2">
      <c r="A22">
        <v>1</v>
      </c>
      <c r="B22">
        <f t="shared" si="0"/>
        <v>-2.8749646734031993</v>
      </c>
    </row>
    <row r="23" spans="1:2">
      <c r="A23">
        <v>1.3</v>
      </c>
      <c r="B23">
        <f t="shared" si="0"/>
        <v>-3.0930686996835988</v>
      </c>
    </row>
    <row r="24" spans="1:2">
      <c r="A24">
        <v>1.6</v>
      </c>
      <c r="B24">
        <f t="shared" si="0"/>
        <v>-3.2730269544295045</v>
      </c>
    </row>
    <row r="25" spans="1:2">
      <c r="A25">
        <v>1.9</v>
      </c>
      <c r="B25">
        <f t="shared" si="0"/>
        <v>-3.4286096282864031</v>
      </c>
    </row>
    <row r="26" spans="1:2">
      <c r="A26">
        <v>2.2000000000000002</v>
      </c>
      <c r="B26">
        <f t="shared" si="0"/>
        <v>-3.5677393782709279</v>
      </c>
    </row>
    <row r="27" spans="1:2">
      <c r="A27">
        <v>2.5</v>
      </c>
      <c r="B27">
        <f t="shared" si="0"/>
        <v>-3.6950755004721341</v>
      </c>
    </row>
    <row r="28" spans="1:2">
      <c r="A28">
        <v>2.8</v>
      </c>
      <c r="B28">
        <f t="shared" si="0"/>
        <v>-3.8134421040982032</v>
      </c>
    </row>
    <row r="29" spans="1:2">
      <c r="A29">
        <v>3.0999999999999899</v>
      </c>
      <c r="B29">
        <f t="shared" si="0"/>
        <v>-3.9246197444175359</v>
      </c>
    </row>
    <row r="30" spans="1:2">
      <c r="A30">
        <v>3.4</v>
      </c>
      <c r="B30">
        <f t="shared" si="0"/>
        <v>-4.0297860947715911</v>
      </c>
    </row>
    <row r="31" spans="1:2">
      <c r="A31">
        <v>3.7</v>
      </c>
      <c r="B31">
        <f t="shared" si="0"/>
        <v>-4.1297627607430032</v>
      </c>
    </row>
    <row r="32" spans="1:2">
      <c r="A32">
        <v>3.9999999999999898</v>
      </c>
      <c r="B32">
        <f t="shared" si="0"/>
        <v>-4.2251547374433782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Ya Blondinko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Чебоксары</dc:creator>
  <cp:lastModifiedBy>Чебоксары</cp:lastModifiedBy>
  <dcterms:created xsi:type="dcterms:W3CDTF">2025-10-05T10:50:50Z</dcterms:created>
  <dcterms:modified xsi:type="dcterms:W3CDTF">2025-10-05T13:16:18Z</dcterms:modified>
</cp:coreProperties>
</file>