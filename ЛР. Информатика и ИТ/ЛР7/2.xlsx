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Перевоз пассажиров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G9" i="1"/>
  <c r="F9"/>
  <c r="E9"/>
  <c r="D9"/>
  <c r="C9"/>
  <c r="I4"/>
  <c r="H8"/>
  <c r="H7"/>
  <c r="H6"/>
  <c r="H5"/>
  <c r="H4"/>
</calcChain>
</file>

<file path=xl/sharedStrings.xml><?xml version="1.0" encoding="utf-8"?>
<sst xmlns="http://schemas.openxmlformats.org/spreadsheetml/2006/main" count="17" uniqueCount="17">
  <si>
    <t>Город</t>
  </si>
  <si>
    <t>Количество пассажиров</t>
  </si>
  <si>
    <t>Октябрь</t>
  </si>
  <si>
    <t>Ноябрь</t>
  </si>
  <si>
    <t>Декабрь</t>
  </si>
  <si>
    <t>Январь</t>
  </si>
  <si>
    <t>Февраль</t>
  </si>
  <si>
    <t>Москва</t>
  </si>
  <si>
    <t>Санкт-Петербург</t>
  </si>
  <si>
    <t>Рязань</t>
  </si>
  <si>
    <t>Астрахань</t>
  </si>
  <si>
    <t>Атлантида</t>
  </si>
  <si>
    <t>Перевоз пассажиров</t>
  </si>
  <si>
    <t>№ п\п</t>
  </si>
  <si>
    <t>Общее кол-во пассажиров</t>
  </si>
  <si>
    <t>Стоимость проданных билетов, руб.</t>
  </si>
  <si>
    <t>Среднее кол-во билетов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</si>
</sst>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Перевоз пассажиров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'Перевоз пассажиров'!$A$4:$B$4</c:f>
              <c:strCache>
                <c:ptCount val="1"/>
                <c:pt idx="0">
                  <c:v>1 Москва</c:v>
                </c:pt>
              </c:strCache>
            </c:strRef>
          </c:tx>
          <c:cat>
            <c:multiLvlStrRef>
              <c:f>'Перевоз пассажиров'!$C$2:$G$3</c:f>
              <c:multiLvlStrCache>
                <c:ptCount val="5"/>
                <c:lvl>
                  <c:pt idx="0">
                    <c:v>Октябрь</c:v>
                  </c:pt>
                  <c:pt idx="1">
                    <c:v>Ноябрь</c:v>
                  </c:pt>
                  <c:pt idx="2">
                    <c:v>Декабрь</c:v>
                  </c:pt>
                  <c:pt idx="3">
                    <c:v>Январь</c:v>
                  </c:pt>
                  <c:pt idx="4">
                    <c:v>Февраль</c:v>
                  </c:pt>
                </c:lvl>
                <c:lvl>
                  <c:pt idx="0">
                    <c:v>Количество пассажиров</c:v>
                  </c:pt>
                </c:lvl>
              </c:multiLvlStrCache>
            </c:multiLvlStrRef>
          </c:cat>
          <c:val>
            <c:numRef>
              <c:f>'Перевоз пассажиров'!$C$4:$G$4</c:f>
              <c:numCache>
                <c:formatCode>General</c:formatCode>
                <c:ptCount val="5"/>
                <c:pt idx="0">
                  <c:v>560</c:v>
                </c:pt>
                <c:pt idx="1">
                  <c:v>500</c:v>
                </c:pt>
                <c:pt idx="2">
                  <c:v>620</c:v>
                </c:pt>
                <c:pt idx="3">
                  <c:v>650</c:v>
                </c:pt>
                <c:pt idx="4">
                  <c:v>570</c:v>
                </c:pt>
              </c:numCache>
            </c:numRef>
          </c:val>
        </c:ser>
        <c:ser>
          <c:idx val="1"/>
          <c:order val="1"/>
          <c:tx>
            <c:strRef>
              <c:f>'Перевоз пассажиров'!$A$5:$B$5</c:f>
              <c:strCache>
                <c:ptCount val="1"/>
                <c:pt idx="0">
                  <c:v>2 Санкт-Петербург</c:v>
                </c:pt>
              </c:strCache>
            </c:strRef>
          </c:tx>
          <c:cat>
            <c:multiLvlStrRef>
              <c:f>'Перевоз пассажиров'!$C$2:$G$3</c:f>
              <c:multiLvlStrCache>
                <c:ptCount val="5"/>
                <c:lvl>
                  <c:pt idx="0">
                    <c:v>Октябрь</c:v>
                  </c:pt>
                  <c:pt idx="1">
                    <c:v>Ноябрь</c:v>
                  </c:pt>
                  <c:pt idx="2">
                    <c:v>Декабрь</c:v>
                  </c:pt>
                  <c:pt idx="3">
                    <c:v>Январь</c:v>
                  </c:pt>
                  <c:pt idx="4">
                    <c:v>Февраль</c:v>
                  </c:pt>
                </c:lvl>
                <c:lvl>
                  <c:pt idx="0">
                    <c:v>Количество пассажиров</c:v>
                  </c:pt>
                </c:lvl>
              </c:multiLvlStrCache>
            </c:multiLvlStrRef>
          </c:cat>
          <c:val>
            <c:numRef>
              <c:f>'Перевоз пассажиров'!$C$5:$G$5</c:f>
              <c:numCache>
                <c:formatCode>General</c:formatCode>
                <c:ptCount val="5"/>
                <c:pt idx="0">
                  <c:v>670</c:v>
                </c:pt>
                <c:pt idx="1">
                  <c:v>580</c:v>
                </c:pt>
                <c:pt idx="2">
                  <c:v>720</c:v>
                </c:pt>
                <c:pt idx="3">
                  <c:v>500</c:v>
                </c:pt>
                <c:pt idx="4">
                  <c:v>550</c:v>
                </c:pt>
              </c:numCache>
            </c:numRef>
          </c:val>
        </c:ser>
        <c:ser>
          <c:idx val="2"/>
          <c:order val="2"/>
          <c:tx>
            <c:strRef>
              <c:f>'Перевоз пассажиров'!$A$6:$B$6</c:f>
              <c:strCache>
                <c:ptCount val="1"/>
                <c:pt idx="0">
                  <c:v>3 Рязань</c:v>
                </c:pt>
              </c:strCache>
            </c:strRef>
          </c:tx>
          <c:cat>
            <c:multiLvlStrRef>
              <c:f>'Перевоз пассажиров'!$C$2:$G$3</c:f>
              <c:multiLvlStrCache>
                <c:ptCount val="5"/>
                <c:lvl>
                  <c:pt idx="0">
                    <c:v>Октябрь</c:v>
                  </c:pt>
                  <c:pt idx="1">
                    <c:v>Ноябрь</c:v>
                  </c:pt>
                  <c:pt idx="2">
                    <c:v>Декабрь</c:v>
                  </c:pt>
                  <c:pt idx="3">
                    <c:v>Январь</c:v>
                  </c:pt>
                  <c:pt idx="4">
                    <c:v>Февраль</c:v>
                  </c:pt>
                </c:lvl>
                <c:lvl>
                  <c:pt idx="0">
                    <c:v>Количество пассажиров</c:v>
                  </c:pt>
                </c:lvl>
              </c:multiLvlStrCache>
            </c:multiLvlStrRef>
          </c:cat>
          <c:val>
            <c:numRef>
              <c:f>'Перевоз пассажиров'!$C$6:$G$6</c:f>
              <c:numCache>
                <c:formatCode>General</c:formatCode>
                <c:ptCount val="5"/>
                <c:pt idx="0">
                  <c:v>480</c:v>
                </c:pt>
                <c:pt idx="1">
                  <c:v>490</c:v>
                </c:pt>
                <c:pt idx="2">
                  <c:v>360</c:v>
                </c:pt>
                <c:pt idx="3">
                  <c:v>390</c:v>
                </c:pt>
                <c:pt idx="4">
                  <c:v>400</c:v>
                </c:pt>
              </c:numCache>
            </c:numRef>
          </c:val>
        </c:ser>
        <c:ser>
          <c:idx val="3"/>
          <c:order val="3"/>
          <c:tx>
            <c:strRef>
              <c:f>'Перевоз пассажиров'!$A$7:$B$7</c:f>
              <c:strCache>
                <c:ptCount val="1"/>
                <c:pt idx="0">
                  <c:v>4 Астрахань</c:v>
                </c:pt>
              </c:strCache>
            </c:strRef>
          </c:tx>
          <c:cat>
            <c:multiLvlStrRef>
              <c:f>'Перевоз пассажиров'!$C$2:$G$3</c:f>
              <c:multiLvlStrCache>
                <c:ptCount val="5"/>
                <c:lvl>
                  <c:pt idx="0">
                    <c:v>Октябрь</c:v>
                  </c:pt>
                  <c:pt idx="1">
                    <c:v>Ноябрь</c:v>
                  </c:pt>
                  <c:pt idx="2">
                    <c:v>Декабрь</c:v>
                  </c:pt>
                  <c:pt idx="3">
                    <c:v>Январь</c:v>
                  </c:pt>
                  <c:pt idx="4">
                    <c:v>Февраль</c:v>
                  </c:pt>
                </c:lvl>
                <c:lvl>
                  <c:pt idx="0">
                    <c:v>Количество пассажиров</c:v>
                  </c:pt>
                </c:lvl>
              </c:multiLvlStrCache>
            </c:multiLvlStrRef>
          </c:cat>
          <c:val>
            <c:numRef>
              <c:f>'Перевоз пассажиров'!$C$7:$G$7</c:f>
              <c:numCache>
                <c:formatCode>General</c:formatCode>
                <c:ptCount val="5"/>
                <c:pt idx="0">
                  <c:v>500</c:v>
                </c:pt>
                <c:pt idx="1">
                  <c:v>250</c:v>
                </c:pt>
                <c:pt idx="2">
                  <c:v>400</c:v>
                </c:pt>
                <c:pt idx="3">
                  <c:v>350</c:v>
                </c:pt>
                <c:pt idx="4">
                  <c:v>580</c:v>
                </c:pt>
              </c:numCache>
            </c:numRef>
          </c:val>
        </c:ser>
        <c:ser>
          <c:idx val="4"/>
          <c:order val="4"/>
          <c:tx>
            <c:strRef>
              <c:f>'Перевоз пассажиров'!$A$8:$B$8</c:f>
              <c:strCache>
                <c:ptCount val="1"/>
                <c:pt idx="0">
                  <c:v>5 Атлантида</c:v>
                </c:pt>
              </c:strCache>
            </c:strRef>
          </c:tx>
          <c:cat>
            <c:multiLvlStrRef>
              <c:f>'Перевоз пассажиров'!$C$2:$G$3</c:f>
              <c:multiLvlStrCache>
                <c:ptCount val="5"/>
                <c:lvl>
                  <c:pt idx="0">
                    <c:v>Октябрь</c:v>
                  </c:pt>
                  <c:pt idx="1">
                    <c:v>Ноябрь</c:v>
                  </c:pt>
                  <c:pt idx="2">
                    <c:v>Декабрь</c:v>
                  </c:pt>
                  <c:pt idx="3">
                    <c:v>Январь</c:v>
                  </c:pt>
                  <c:pt idx="4">
                    <c:v>Февраль</c:v>
                  </c:pt>
                </c:lvl>
                <c:lvl>
                  <c:pt idx="0">
                    <c:v>Количество пассажиров</c:v>
                  </c:pt>
                </c:lvl>
              </c:multiLvlStrCache>
            </c:multiLvlStrRef>
          </c:cat>
          <c:val>
            <c:numRef>
              <c:f>'Перевоз пассажиров'!$C$8:$G$8</c:f>
              <c:numCache>
                <c:formatCode>General</c:formatCode>
                <c:ptCount val="5"/>
                <c:pt idx="0">
                  <c:v>800</c:v>
                </c:pt>
                <c:pt idx="1">
                  <c:v>700</c:v>
                </c:pt>
                <c:pt idx="2">
                  <c:v>700</c:v>
                </c:pt>
                <c:pt idx="3">
                  <c:v>600</c:v>
                </c:pt>
                <c:pt idx="4">
                  <c:v>300</c:v>
                </c:pt>
              </c:numCache>
            </c:numRef>
          </c:val>
        </c:ser>
        <c:dLbls/>
        <c:axId val="95560448"/>
        <c:axId val="95561984"/>
      </c:barChart>
      <c:catAx>
        <c:axId val="95560448"/>
        <c:scaling>
          <c:orientation val="minMax"/>
        </c:scaling>
        <c:axPos val="b"/>
        <c:majorTickMark val="none"/>
        <c:tickLblPos val="nextTo"/>
        <c:crossAx val="95561984"/>
        <c:crosses val="autoZero"/>
        <c:auto val="1"/>
        <c:lblAlgn val="ctr"/>
        <c:lblOffset val="100"/>
      </c:catAx>
      <c:valAx>
        <c:axId val="95561984"/>
        <c:scaling>
          <c:orientation val="minMax"/>
        </c:scaling>
        <c:axPos val="l"/>
        <c:majorGridlines/>
        <c:title>
          <c:layout/>
        </c:title>
        <c:numFmt formatCode="General" sourceLinked="1"/>
        <c:tickLblPos val="nextTo"/>
        <c:crossAx val="955604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9</xdr:row>
      <xdr:rowOff>28575</xdr:rowOff>
    </xdr:from>
    <xdr:to>
      <xdr:col>12</xdr:col>
      <xdr:colOff>590550</xdr:colOff>
      <xdr:row>39</xdr:row>
      <xdr:rowOff>76200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selection activeCell="K9" sqref="K9"/>
    </sheetView>
  </sheetViews>
  <sheetFormatPr defaultRowHeight="15"/>
  <cols>
    <col min="2" max="2" width="21.42578125" customWidth="1"/>
    <col min="3" max="7" width="13.42578125" customWidth="1"/>
    <col min="8" max="8" width="17.7109375" customWidth="1"/>
    <col min="9" max="9" width="23.140625" customWidth="1"/>
    <col min="10" max="10" width="11.42578125" customWidth="1"/>
  </cols>
  <sheetData>
    <row r="1" spans="1:10" ht="15.75" thickBot="1">
      <c r="B1" s="7" t="s">
        <v>12</v>
      </c>
      <c r="C1" s="7"/>
      <c r="D1" s="7"/>
      <c r="E1" s="7"/>
      <c r="F1" s="7"/>
      <c r="G1" s="7"/>
    </row>
    <row r="2" spans="1:10" ht="15.75" customHeight="1" thickTop="1" thickBot="1">
      <c r="A2" s="6" t="s">
        <v>13</v>
      </c>
      <c r="B2" s="5" t="s">
        <v>0</v>
      </c>
      <c r="C2" s="6" t="s">
        <v>1</v>
      </c>
      <c r="D2" s="6"/>
      <c r="E2" s="6"/>
      <c r="F2" s="6"/>
      <c r="G2" s="6"/>
      <c r="H2" s="8" t="s">
        <v>14</v>
      </c>
      <c r="I2" s="4" t="s">
        <v>15</v>
      </c>
      <c r="J2" s="3"/>
    </row>
    <row r="3" spans="1:10" ht="16.5" thickTop="1" thickBot="1">
      <c r="A3" s="6"/>
      <c r="B3" s="5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8"/>
      <c r="I3" s="4"/>
      <c r="J3" s="3"/>
    </row>
    <row r="4" spans="1:10" ht="16.5" thickTop="1" thickBot="1">
      <c r="A4" s="1">
        <v>1</v>
      </c>
      <c r="B4" s="1" t="s">
        <v>7</v>
      </c>
      <c r="C4" s="1">
        <v>560</v>
      </c>
      <c r="D4" s="1">
        <v>500</v>
      </c>
      <c r="E4" s="1">
        <v>620</v>
      </c>
      <c r="F4" s="1">
        <v>650</v>
      </c>
      <c r="G4" s="1">
        <v>570</v>
      </c>
      <c r="H4">
        <f>SUM(C4:G4)</f>
        <v>2900</v>
      </c>
      <c r="I4">
        <f>H4*2500</f>
        <v>7250000</v>
      </c>
    </row>
    <row r="5" spans="1:10" ht="16.5" thickTop="1" thickBot="1">
      <c r="A5" s="1">
        <v>2</v>
      </c>
      <c r="B5" s="1" t="s">
        <v>8</v>
      </c>
      <c r="C5" s="1">
        <v>670</v>
      </c>
      <c r="D5" s="1">
        <v>580</v>
      </c>
      <c r="E5" s="1">
        <v>720</v>
      </c>
      <c r="F5" s="1">
        <v>500</v>
      </c>
      <c r="G5" s="1">
        <v>550</v>
      </c>
      <c r="H5">
        <f>SUM(C5:G5)</f>
        <v>3020</v>
      </c>
    </row>
    <row r="6" spans="1:10" ht="16.5" thickTop="1" thickBot="1">
      <c r="A6" s="1">
        <v>3</v>
      </c>
      <c r="B6" s="1" t="s">
        <v>9</v>
      </c>
      <c r="C6" s="1">
        <v>480</v>
      </c>
      <c r="D6" s="1">
        <v>490</v>
      </c>
      <c r="E6" s="1">
        <v>360</v>
      </c>
      <c r="F6" s="1">
        <v>390</v>
      </c>
      <c r="G6" s="1">
        <v>400</v>
      </c>
      <c r="H6">
        <f>SUM(C6:G6)</f>
        <v>2120</v>
      </c>
    </row>
    <row r="7" spans="1:10" ht="16.5" thickTop="1" thickBot="1">
      <c r="A7" s="1">
        <v>4</v>
      </c>
      <c r="B7" s="1" t="s">
        <v>10</v>
      </c>
      <c r="C7" s="1">
        <v>500</v>
      </c>
      <c r="D7" s="1">
        <v>250</v>
      </c>
      <c r="E7" s="1">
        <v>400</v>
      </c>
      <c r="F7" s="1">
        <v>350</v>
      </c>
      <c r="G7" s="1">
        <v>580</v>
      </c>
      <c r="H7">
        <f>SUM(C7:G7)</f>
        <v>2080</v>
      </c>
    </row>
    <row r="8" spans="1:10" ht="16.5" thickTop="1" thickBot="1">
      <c r="A8" s="1">
        <v>5</v>
      </c>
      <c r="B8" s="1" t="s">
        <v>11</v>
      </c>
      <c r="C8" s="1">
        <v>800</v>
      </c>
      <c r="D8" s="1">
        <v>700</v>
      </c>
      <c r="E8" s="1">
        <v>700</v>
      </c>
      <c r="F8" s="1">
        <v>600</v>
      </c>
      <c r="G8" s="1">
        <v>300</v>
      </c>
      <c r="H8">
        <f>SUM(C8:G8)</f>
        <v>3100</v>
      </c>
    </row>
    <row r="9" spans="1:10" ht="28.5" customHeight="1" thickTop="1">
      <c r="B9" s="9" t="s">
        <v>16</v>
      </c>
      <c r="C9">
        <f>AVERAGE(C4:C8)</f>
        <v>602</v>
      </c>
      <c r="D9">
        <f>AVERAGE(D4:D8)</f>
        <v>504</v>
      </c>
      <c r="E9">
        <f>AVERAGE(E4:E8)</f>
        <v>560</v>
      </c>
      <c r="F9">
        <f>AVERAGE(F4:F8)</f>
        <v>498</v>
      </c>
      <c r="G9">
        <f>AVERAGE(G4:G8)</f>
        <v>480</v>
      </c>
    </row>
  </sheetData>
  <mergeCells count="6">
    <mergeCell ref="I2:I3"/>
    <mergeCell ref="B2:B3"/>
    <mergeCell ref="C2:G2"/>
    <mergeCell ref="B1:G1"/>
    <mergeCell ref="A2:A3"/>
    <mergeCell ref="H2:H3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Перевоз пассажиров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2025-10-05T10:06:30Z</dcterms:modified>
</cp:coreProperties>
</file>